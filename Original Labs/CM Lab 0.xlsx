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965b85ef8435f99/Documents/Computational Methods/"/>
    </mc:Choice>
  </mc:AlternateContent>
  <xr:revisionPtr revIDLastSave="108" documentId="8_{A1304C30-45FD-4E26-A52C-D13B5F038406}" xr6:coauthVersionLast="47" xr6:coauthVersionMax="47" xr10:uidLastSave="{FF5B6FA9-AC05-4E55-8F52-4036B8C73694}"/>
  <bookViews>
    <workbookView xWindow="-108" yWindow="-108" windowWidth="23256" windowHeight="13896" xr2:uid="{BE8728AD-1E14-4483-AA74-48A02265D886}"/>
  </bookViews>
  <sheets>
    <sheet name="Sheet1" sheetId="1" r:id="rId1"/>
  </sheets>
  <definedNames>
    <definedName name="cd">Sheet1!$B$3</definedName>
    <definedName name="dt">Sheet1!$B$5</definedName>
    <definedName name="g">Sheet1!$B$2</definedName>
    <definedName name="m">Sheet1!$B$4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" i="1" l="1"/>
  <c r="E6" i="1"/>
  <c r="F3" i="1"/>
  <c r="E2" i="1"/>
  <c r="D3" i="1"/>
  <c r="E3" i="1" s="1"/>
  <c r="D4" i="1" l="1"/>
  <c r="D5" i="1" l="1"/>
  <c r="E4" i="1"/>
  <c r="F4" i="1"/>
  <c r="F5" i="1" s="1"/>
  <c r="D6" i="1" l="1"/>
  <c r="E5" i="1"/>
  <c r="D7" i="1" l="1"/>
  <c r="F6" i="1"/>
  <c r="F7" i="1" s="1"/>
  <c r="D8" i="1" l="1"/>
  <c r="E7" i="1"/>
  <c r="D9" i="1" l="1"/>
  <c r="E8" i="1"/>
  <c r="F8" i="1"/>
  <c r="F9" i="1" s="1"/>
  <c r="D10" i="1" l="1"/>
  <c r="E9" i="1"/>
  <c r="D11" i="1" l="1"/>
  <c r="E10" i="1"/>
  <c r="F10" i="1"/>
  <c r="F11" i="1" s="1"/>
  <c r="D12" i="1" l="1"/>
  <c r="E11" i="1"/>
  <c r="D13" i="1" l="1"/>
  <c r="E12" i="1"/>
  <c r="F12" i="1"/>
  <c r="F13" i="1" s="1"/>
  <c r="D14" i="1" l="1"/>
  <c r="E14" i="1" s="1"/>
  <c r="E13" i="1"/>
  <c r="F14" i="1" l="1"/>
</calcChain>
</file>

<file path=xl/sharedStrings.xml><?xml version="1.0" encoding="utf-8"?>
<sst xmlns="http://schemas.openxmlformats.org/spreadsheetml/2006/main" count="14" uniqueCount="14">
  <si>
    <t>m</t>
  </si>
  <si>
    <t>g</t>
  </si>
  <si>
    <t>cd</t>
  </si>
  <si>
    <t>dt</t>
  </si>
  <si>
    <t>Variable</t>
  </si>
  <si>
    <t>Value</t>
  </si>
  <si>
    <t>Units</t>
  </si>
  <si>
    <t>m/s^2</t>
  </si>
  <si>
    <t>s</t>
  </si>
  <si>
    <t>kg</t>
  </si>
  <si>
    <t>kg/m</t>
  </si>
  <si>
    <t>t (s)</t>
  </si>
  <si>
    <t>True v(t)</t>
  </si>
  <si>
    <t>Approximate v(t)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</si>
</sst>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</a:t>
            </a:r>
            <a:r>
              <a:rPr lang="en-US" baseline="0"/>
              <a:t> vs Velocity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203937007874015"/>
          <c:y val="0.19486111111111112"/>
          <c:w val="0.76196062992125979"/>
          <c:h val="0.67864209682123067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True v(t)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Sheet1!$D$2:$D$14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xVal>
          <c:yVal>
            <c:numRef>
              <c:f>Sheet1!$E$2:$E$14</c:f>
              <c:numCache>
                <c:formatCode>General</c:formatCode>
                <c:ptCount val="13"/>
                <c:pt idx="0">
                  <c:v>0</c:v>
                </c:pt>
                <c:pt idx="1">
                  <c:v>9.6939088244353773</c:v>
                </c:pt>
                <c:pt idx="2">
                  <c:v>18.729188845697273</c:v>
                </c:pt>
                <c:pt idx="3">
                  <c:v>26.614819209879801</c:v>
                </c:pt>
                <c:pt idx="4">
                  <c:v>33.111825035248224</c:v>
                </c:pt>
                <c:pt idx="5">
                  <c:v>38.215399292826021</c:v>
                </c:pt>
                <c:pt idx="6">
                  <c:v>42.07622705649873</c:v>
                </c:pt>
                <c:pt idx="7">
                  <c:v>44.914521414870357</c:v>
                </c:pt>
                <c:pt idx="8">
                  <c:v>46.957495128985123</c:v>
                </c:pt>
                <c:pt idx="9">
                  <c:v>48.405756636565847</c:v>
                </c:pt>
                <c:pt idx="10">
                  <c:v>49.421366918691319</c:v>
                </c:pt>
                <c:pt idx="11">
                  <c:v>50.128177512241543</c:v>
                </c:pt>
                <c:pt idx="12">
                  <c:v>50.617479351928829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3D-4ABF-8F53-DBF1D61EC8FD}"/>
            </c:ext>
          </c:extLst>
        </c:ser>
        <c:ser>
          <c:idx val="1"/>
          <c:order val="1"/>
          <c:tx>
            <c:strRef>
              <c:f>Sheet1!$F$1</c:f>
              <c:strCache>
                <c:ptCount val="1"/>
                <c:pt idx="0">
                  <c:v>Approximate v(t)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Sheet1!$D$2:$D$14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xVal>
          <c:yVal>
            <c:numRef>
              <c:f>Sheet1!$F$2:$F$14</c:f>
              <c:numCache>
                <c:formatCode>General</c:formatCode>
                <c:ptCount val="13"/>
                <c:pt idx="0">
                  <c:v>0</c:v>
                </c:pt>
                <c:pt idx="1">
                  <c:v>9.81</c:v>
                </c:pt>
                <c:pt idx="2">
                  <c:v>19.266710352422908</c:v>
                </c:pt>
                <c:pt idx="3">
                  <c:v>27.713985947855505</c:v>
                </c:pt>
                <c:pt idx="4">
                  <c:v>34.704364005425504</c:v>
                </c:pt>
                <c:pt idx="5">
                  <c:v>40.092951079503798</c:v>
                </c:pt>
                <c:pt idx="6">
                  <c:v>44.001905828903631</c:v>
                </c:pt>
                <c:pt idx="7">
                  <c:v>46.704094828258611</c:v>
                </c:pt>
                <c:pt idx="8">
                  <c:v>48.506486628086172</c:v>
                </c:pt>
                <c:pt idx="9">
                  <c:v>49.678897622944092</c:v>
                </c:pt>
                <c:pt idx="10">
                  <c:v>50.428718221215163</c:v>
                </c:pt>
                <c:pt idx="11">
                  <c:v>50.902978054421041</c:v>
                </c:pt>
                <c:pt idx="12">
                  <c:v>51.200815151304781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63D-4ABF-8F53-DBF1D61EC8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0900512"/>
        <c:axId val="420906752"/>
      </c:scatterChart>
      <c:valAx>
        <c:axId val="4209005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0906752"/>
        <c:crosses val="autoZero"/>
        <c:crossBetween val="midCat"/>
      </c:valAx>
      <c:valAx>
        <c:axId val="4209067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Velocity</a:t>
                </a:r>
                <a:r>
                  <a:rPr lang="en-US" baseline="0"/>
                  <a:t> (m/s)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0900512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r"/>
      <c:layout>
        <c:manualLayout>
          <c:xMode val="edge"/>
          <c:yMode val="edge"/>
          <c:x val="0.76212051618547683"/>
          <c:y val="0.67208260425780098"/>
          <c:w val="0.20825524934383202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289560</xdr:colOff>
      <xdr:row>3</xdr:row>
      <xdr:rowOff>121920</xdr:rowOff>
    </xdr:from>
    <xdr:to>
      <xdr:col>14</xdr:col>
      <xdr:colOff>594360</xdr:colOff>
      <xdr:row>18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520D9B-9D54-965D-0FB0-61127991BF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B5886-C868-4D5A-B3EB-4F9FE988B9E8}">
  <dimension ref="A1:F17"/>
  <sheetViews>
    <sheetView tabSelected="1" workbookViewId="0">
      <selection activeCell="E17" sqref="E17"/>
    </sheetView>
  </sheetViews>
  <sheetFormatPr defaultRowHeight="14.4" x14ac:dyDescent="0.3"/>
  <sheetData>
    <row r="1" spans="1:6" x14ac:dyDescent="0.3">
      <c r="A1" s="1" t="s">
        <v>4</v>
      </c>
      <c r="B1" s="1" t="s">
        <v>5</v>
      </c>
      <c r="C1" s="1" t="s">
        <v>6</v>
      </c>
      <c r="D1" s="1" t="s">
        <v>11</v>
      </c>
      <c r="E1" s="1" t="s">
        <v>12</v>
      </c>
      <c r="F1" s="1" t="s">
        <v>13</v>
      </c>
    </row>
    <row r="2" spans="1:6" x14ac:dyDescent="0.3">
      <c r="A2" t="s">
        <v>1</v>
      </c>
      <c r="B2">
        <v>9.81</v>
      </c>
      <c r="C2" t="s">
        <v>7</v>
      </c>
      <c r="D2">
        <v>0</v>
      </c>
      <c r="E2">
        <f t="shared" ref="E2:E14" si="0">(SQRT(g*m/cd))*TANH((SQRT(g*cd/m))*D2)</f>
        <v>0</v>
      </c>
      <c r="F2">
        <v>0</v>
      </c>
    </row>
    <row r="3" spans="1:6" x14ac:dyDescent="0.3">
      <c r="A3" t="s">
        <v>2</v>
      </c>
      <c r="B3">
        <v>0.25</v>
      </c>
      <c r="C3" t="s">
        <v>10</v>
      </c>
      <c r="D3">
        <f>D2+$B$5</f>
        <v>1</v>
      </c>
      <c r="E3">
        <f t="shared" si="0"/>
        <v>9.6939088244353773</v>
      </c>
      <c r="F3">
        <f>F2+(g-(cd/m)*(F2)^2)*(D3-D2)</f>
        <v>9.81</v>
      </c>
    </row>
    <row r="4" spans="1:6" x14ac:dyDescent="0.3">
      <c r="A4" t="s">
        <v>0</v>
      </c>
      <c r="B4">
        <v>68.099999999999994</v>
      </c>
      <c r="C4" t="s">
        <v>9</v>
      </c>
      <c r="D4">
        <f t="shared" ref="D4:D14" si="1">D3+$B$5</f>
        <v>2</v>
      </c>
      <c r="E4">
        <f t="shared" si="0"/>
        <v>18.729188845697273</v>
      </c>
      <c r="F4">
        <f t="shared" ref="F3:F14" si="2">F3+(g-(cd/m)*(F3)^2)*(D4-D3)</f>
        <v>19.266710352422908</v>
      </c>
    </row>
    <row r="5" spans="1:6" x14ac:dyDescent="0.3">
      <c r="A5" t="s">
        <v>3</v>
      </c>
      <c r="B5">
        <v>1</v>
      </c>
      <c r="C5" t="s">
        <v>8</v>
      </c>
      <c r="D5">
        <f t="shared" si="1"/>
        <v>3</v>
      </c>
      <c r="E5">
        <f t="shared" si="0"/>
        <v>26.614819209879801</v>
      </c>
      <c r="F5">
        <f t="shared" si="2"/>
        <v>27.713985947855505</v>
      </c>
    </row>
    <row r="6" spans="1:6" x14ac:dyDescent="0.3">
      <c r="D6">
        <f t="shared" si="1"/>
        <v>4</v>
      </c>
      <c r="E6">
        <f>(SQRT(g*m/cd))*TANH((SQRT(g*cd/m))*D6)</f>
        <v>33.111825035248224</v>
      </c>
      <c r="F6">
        <f t="shared" si="2"/>
        <v>34.704364005425504</v>
      </c>
    </row>
    <row r="7" spans="1:6" x14ac:dyDescent="0.3">
      <c r="D7">
        <f t="shared" si="1"/>
        <v>5</v>
      </c>
      <c r="E7">
        <f t="shared" si="0"/>
        <v>38.215399292826021</v>
      </c>
      <c r="F7">
        <f t="shared" si="2"/>
        <v>40.092951079503798</v>
      </c>
    </row>
    <row r="8" spans="1:6" x14ac:dyDescent="0.3">
      <c r="D8">
        <f t="shared" si="1"/>
        <v>6</v>
      </c>
      <c r="E8">
        <f t="shared" si="0"/>
        <v>42.07622705649873</v>
      </c>
      <c r="F8">
        <f t="shared" si="2"/>
        <v>44.001905828903631</v>
      </c>
    </row>
    <row r="9" spans="1:6" x14ac:dyDescent="0.3">
      <c r="D9">
        <f t="shared" si="1"/>
        <v>7</v>
      </c>
      <c r="E9">
        <f t="shared" si="0"/>
        <v>44.914521414870357</v>
      </c>
      <c r="F9">
        <f t="shared" si="2"/>
        <v>46.704094828258611</v>
      </c>
    </row>
    <row r="10" spans="1:6" x14ac:dyDescent="0.3">
      <c r="D10">
        <f t="shared" si="1"/>
        <v>8</v>
      </c>
      <c r="E10">
        <f t="shared" si="0"/>
        <v>46.957495128985123</v>
      </c>
      <c r="F10">
        <f t="shared" si="2"/>
        <v>48.506486628086172</v>
      </c>
    </row>
    <row r="11" spans="1:6" x14ac:dyDescent="0.3">
      <c r="D11">
        <f t="shared" si="1"/>
        <v>9</v>
      </c>
      <c r="E11">
        <f t="shared" si="0"/>
        <v>48.405756636565847</v>
      </c>
      <c r="F11">
        <f t="shared" si="2"/>
        <v>49.678897622944092</v>
      </c>
    </row>
    <row r="12" spans="1:6" x14ac:dyDescent="0.3">
      <c r="D12">
        <f t="shared" si="1"/>
        <v>10</v>
      </c>
      <c r="E12">
        <f t="shared" si="0"/>
        <v>49.421366918691319</v>
      </c>
      <c r="F12">
        <f t="shared" si="2"/>
        <v>50.428718221215163</v>
      </c>
    </row>
    <row r="13" spans="1:6" x14ac:dyDescent="0.3">
      <c r="D13">
        <f t="shared" si="1"/>
        <v>11</v>
      </c>
      <c r="E13">
        <f t="shared" si="0"/>
        <v>50.128177512241543</v>
      </c>
      <c r="F13">
        <f t="shared" si="2"/>
        <v>50.902978054421041</v>
      </c>
    </row>
    <row r="14" spans="1:6" x14ac:dyDescent="0.3">
      <c r="D14">
        <f t="shared" si="1"/>
        <v>12</v>
      </c>
      <c r="E14">
        <f t="shared" si="0"/>
        <v>50.617479351928829</v>
      </c>
      <c r="F14">
        <f t="shared" si="2"/>
        <v>51.200815151304781</v>
      </c>
    </row>
    <row r="17" spans="5:5" x14ac:dyDescent="0.3">
      <c r="E17">
        <f>dt+m</f>
        <v>69.099999999999994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Sheet1</vt:lpstr>
      <vt:lpstr>cd</vt:lpstr>
      <vt:lpstr>dt</vt:lpstr>
      <vt:lpstr>g</vt:lpstr>
      <vt:lpstr>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Gonzales</dc:creator>
  <cp:lastModifiedBy>Michael Gonzales</cp:lastModifiedBy>
  <dcterms:created xsi:type="dcterms:W3CDTF">2025-01-16T23:09:23Z</dcterms:created>
  <dcterms:modified xsi:type="dcterms:W3CDTF">2026-09-08T22:22:18Z</dcterms:modified>
</cp:coreProperties>
</file>